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РОЕКТЫ\elta-import\тестовые файлы\"/>
    </mc:Choice>
  </mc:AlternateContent>
  <xr:revisionPtr revIDLastSave="0" documentId="13_ncr:1_{A941F59D-DE29-4D29-A21F-1280FD3819E0}" xr6:coauthVersionLast="47" xr6:coauthVersionMax="47" xr10:uidLastSave="{00000000-0000-0000-0000-000000000000}"/>
  <bookViews>
    <workbookView xWindow="-120" yWindow="-120" windowWidth="29040" windowHeight="15840" xr2:uid="{CF17B27D-3C11-4397-B09B-77AC10B1D37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P2" i="1"/>
</calcChain>
</file>

<file path=xl/sharedStrings.xml><?xml version="1.0" encoding="utf-8"?>
<sst xmlns="http://schemas.openxmlformats.org/spreadsheetml/2006/main" count="59" uniqueCount="35">
  <si>
    <t>Месяц</t>
  </si>
  <si>
    <t>Код клиента</t>
  </si>
  <si>
    <t>Наименование товара клиента</t>
  </si>
  <si>
    <t>Поставщик</t>
  </si>
  <si>
    <t>Юридическое лицо</t>
  </si>
  <si>
    <t>Закупки Кол-во упаковок</t>
  </si>
  <si>
    <t xml:space="preserve">Закупки сумма в закупочных ценах </t>
  </si>
  <si>
    <t>Продажи кол-во упаковок</t>
  </si>
  <si>
    <t>Продажи сумма в закупочных ценах</t>
  </si>
  <si>
    <t>Остатки кол-во упаковок</t>
  </si>
  <si>
    <t>Год</t>
  </si>
  <si>
    <t>Поставщик общий</t>
  </si>
  <si>
    <t>Сеть</t>
  </si>
  <si>
    <t>Адрес аптеки</t>
  </si>
  <si>
    <t>Регион</t>
  </si>
  <si>
    <t>Артикул Элта</t>
  </si>
  <si>
    <t>Полное наименование Элта</t>
  </si>
  <si>
    <t>Медицинский представитель</t>
  </si>
  <si>
    <t>Региональный менеджер</t>
  </si>
  <si>
    <t>Глюкометры</t>
  </si>
  <si>
    <t>Тест-полоски 50</t>
  </si>
  <si>
    <t>Тест-полоски 25</t>
  </si>
  <si>
    <t>№ поля</t>
  </si>
  <si>
    <t>Наименование поля</t>
  </si>
  <si>
    <t>Федеральный округ</t>
  </si>
  <si>
    <t>тест-москва</t>
  </si>
  <si>
    <t>тест-ООО ЭЛТА</t>
  </si>
  <si>
    <t>фомичёв</t>
  </si>
  <si>
    <t>фомичвёва</t>
  </si>
  <si>
    <t>Тест-Глюкоментр</t>
  </si>
  <si>
    <t>Тест- поставщик-2</t>
  </si>
  <si>
    <t>Тест-сеть-22</t>
  </si>
  <si>
    <t>Тест-поставщик-общий-2</t>
  </si>
  <si>
    <t>Тест-ООО-2</t>
  </si>
  <si>
    <t>Тест-зеленоград-2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</si>
</sst>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3" borderId="4" xfId="0" applyFill="1" applyBorder="1"/>
    <xf numFmtId="0" fontId="0" fillId="4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8E0B-0551-4EC9-9C0D-A9BE839EF08D}">
  <dimension ref="A1:W2"/>
  <sheetViews>
    <sheetView tabSelected="1" topLeftCell="O1" workbookViewId="0">
      <selection activeCell="U2" sqref="U2"/>
    </sheetView>
  </sheetViews>
  <sheetFormatPr defaultRowHeight="15" x14ac:dyDescent="0.25"/>
  <cols>
    <col min="1" max="1" width="15.42578125" customWidth="1"/>
    <col min="2" max="2" width="15.42578125" bestFit="1" customWidth="1"/>
    <col min="3" max="3" width="30.85546875" bestFit="1" customWidth="1"/>
    <col min="4" max="4" width="47.85546875" bestFit="1" customWidth="1"/>
    <col min="5" max="5" width="19.42578125" bestFit="1" customWidth="1"/>
    <col min="6" max="7" width="19.42578125" customWidth="1"/>
    <col min="8" max="8" width="27" bestFit="1" customWidth="1"/>
    <col min="9" max="11" width="27" customWidth="1"/>
    <col min="12" max="12" width="32.5703125" bestFit="1" customWidth="1"/>
    <col min="13" max="13" width="49.5703125" bestFit="1" customWidth="1"/>
    <col min="14" max="14" width="33.28515625" bestFit="1" customWidth="1"/>
    <col min="15" max="15" width="42.7109375" bestFit="1" customWidth="1"/>
    <col min="16" max="16" width="32.140625" bestFit="1" customWidth="1"/>
    <col min="17" max="17" width="21.5703125" bestFit="1" customWidth="1"/>
    <col min="18" max="18" width="27.7109375" bestFit="1" customWidth="1"/>
    <col min="19" max="21" width="27.7109375" customWidth="1"/>
    <col min="22" max="22" width="23.7109375" bestFit="1" customWidth="1"/>
    <col min="23" max="23" width="28.140625" customWidth="1"/>
  </cols>
  <sheetData>
    <row r="1" spans="1:23" x14ac:dyDescent="0.25">
      <c r="A1" s="2" t="s">
        <v>10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2" t="s">
        <v>12</v>
      </c>
      <c r="H1" s="2" t="s">
        <v>4</v>
      </c>
      <c r="I1" s="2" t="s">
        <v>13</v>
      </c>
      <c r="J1" s="2" t="s">
        <v>14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15</v>
      </c>
      <c r="R1" s="2" t="s">
        <v>16</v>
      </c>
      <c r="S1" s="2" t="s">
        <v>19</v>
      </c>
      <c r="T1" s="2" t="s">
        <v>20</v>
      </c>
      <c r="U1" s="2" t="s">
        <v>21</v>
      </c>
      <c r="V1" s="3" t="s">
        <v>18</v>
      </c>
      <c r="W1" s="3" t="s">
        <v>17</v>
      </c>
    </row>
    <row r="2" spans="1:23" x14ac:dyDescent="0.25">
      <c r="A2">
        <v>2026</v>
      </c>
      <c r="B2">
        <v>1</v>
      </c>
      <c r="C2">
        <v>1651651</v>
      </c>
      <c r="D2" t="s">
        <v>29</v>
      </c>
      <c r="E2" t="s">
        <v>30</v>
      </c>
      <c r="F2" t="s">
        <v>32</v>
      </c>
      <c r="G2" t="s">
        <v>31</v>
      </c>
      <c r="H2" t="s">
        <v>33</v>
      </c>
      <c r="I2" t="s">
        <v>34</v>
      </c>
      <c r="J2" t="s">
        <v>25</v>
      </c>
      <c r="K2" t="s">
        <v>25</v>
      </c>
      <c r="L2">
        <v>1651</v>
      </c>
      <c r="M2">
        <v>500</v>
      </c>
      <c r="N2">
        <v>514</v>
      </c>
      <c r="O2">
        <f>N2*M2</f>
        <v>257000</v>
      </c>
      <c r="P2">
        <f>L2-N2</f>
        <v>1137</v>
      </c>
      <c r="Q2">
        <v>54545454</v>
      </c>
      <c r="R2" t="s">
        <v>26</v>
      </c>
      <c r="S2">
        <v>65467</v>
      </c>
      <c r="T2">
        <v>345634</v>
      </c>
      <c r="U2">
        <v>5345</v>
      </c>
      <c r="V2" t="s">
        <v>27</v>
      </c>
      <c r="W2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D991-F1A9-4466-93B9-80928CB03060}">
  <dimension ref="A1:B24"/>
  <sheetViews>
    <sheetView workbookViewId="0">
      <selection activeCell="H17" sqref="H17"/>
    </sheetView>
  </sheetViews>
  <sheetFormatPr defaultRowHeight="15" x14ac:dyDescent="0.25"/>
  <cols>
    <col min="2" max="2" width="32.7109375" bestFit="1" customWidth="1"/>
  </cols>
  <sheetData>
    <row r="1" spans="1:2" x14ac:dyDescent="0.25">
      <c r="A1" s="4" t="s">
        <v>22</v>
      </c>
      <c r="B1" s="4" t="s">
        <v>23</v>
      </c>
    </row>
    <row r="2" spans="1:2" x14ac:dyDescent="0.25">
      <c r="A2" s="5">
        <v>1</v>
      </c>
      <c r="B2" s="6" t="s">
        <v>10</v>
      </c>
    </row>
    <row r="3" spans="1:2" x14ac:dyDescent="0.25">
      <c r="A3" s="5">
        <v>2</v>
      </c>
      <c r="B3" s="6" t="s">
        <v>0</v>
      </c>
    </row>
    <row r="4" spans="1:2" x14ac:dyDescent="0.25">
      <c r="A4" s="5">
        <v>3</v>
      </c>
      <c r="B4" s="6" t="s">
        <v>1</v>
      </c>
    </row>
    <row r="5" spans="1:2" x14ac:dyDescent="0.25">
      <c r="A5" s="5">
        <v>4</v>
      </c>
      <c r="B5" s="6" t="s">
        <v>2</v>
      </c>
    </row>
    <row r="6" spans="1:2" x14ac:dyDescent="0.25">
      <c r="A6" s="5">
        <v>5</v>
      </c>
      <c r="B6" s="6" t="s">
        <v>3</v>
      </c>
    </row>
    <row r="7" spans="1:2" x14ac:dyDescent="0.25">
      <c r="A7" s="5">
        <v>6</v>
      </c>
      <c r="B7" s="6" t="s">
        <v>11</v>
      </c>
    </row>
    <row r="8" spans="1:2" x14ac:dyDescent="0.25">
      <c r="A8" s="5">
        <v>7</v>
      </c>
      <c r="B8" s="6" t="s">
        <v>12</v>
      </c>
    </row>
    <row r="9" spans="1:2" x14ac:dyDescent="0.25">
      <c r="A9" s="5">
        <v>8</v>
      </c>
      <c r="B9" s="6" t="s">
        <v>4</v>
      </c>
    </row>
    <row r="10" spans="1:2" x14ac:dyDescent="0.25">
      <c r="A10" s="5">
        <v>9</v>
      </c>
      <c r="B10" s="6" t="s">
        <v>13</v>
      </c>
    </row>
    <row r="11" spans="1:2" x14ac:dyDescent="0.25">
      <c r="A11" s="5">
        <v>10</v>
      </c>
      <c r="B11" s="6" t="s">
        <v>14</v>
      </c>
    </row>
    <row r="12" spans="1:2" x14ac:dyDescent="0.25">
      <c r="A12" s="5">
        <v>11</v>
      </c>
      <c r="B12" s="6" t="s">
        <v>24</v>
      </c>
    </row>
    <row r="13" spans="1:2" x14ac:dyDescent="0.25">
      <c r="A13" s="5">
        <v>12</v>
      </c>
      <c r="B13" s="6" t="s">
        <v>5</v>
      </c>
    </row>
    <row r="14" spans="1:2" x14ac:dyDescent="0.25">
      <c r="A14" s="5">
        <v>13</v>
      </c>
      <c r="B14" s="6" t="s">
        <v>6</v>
      </c>
    </row>
    <row r="15" spans="1:2" x14ac:dyDescent="0.25">
      <c r="A15" s="5">
        <v>14</v>
      </c>
      <c r="B15" s="6" t="s">
        <v>7</v>
      </c>
    </row>
    <row r="16" spans="1:2" x14ac:dyDescent="0.25">
      <c r="A16" s="5">
        <v>15</v>
      </c>
      <c r="B16" s="6" t="s">
        <v>8</v>
      </c>
    </row>
    <row r="17" spans="1:2" x14ac:dyDescent="0.25">
      <c r="A17" s="5">
        <v>16</v>
      </c>
      <c r="B17" s="6" t="s">
        <v>9</v>
      </c>
    </row>
    <row r="18" spans="1:2" x14ac:dyDescent="0.25">
      <c r="A18" s="5">
        <v>17</v>
      </c>
      <c r="B18" s="6" t="s">
        <v>15</v>
      </c>
    </row>
    <row r="19" spans="1:2" x14ac:dyDescent="0.25">
      <c r="A19" s="5">
        <v>18</v>
      </c>
      <c r="B19" s="6" t="s">
        <v>16</v>
      </c>
    </row>
    <row r="20" spans="1:2" x14ac:dyDescent="0.25">
      <c r="A20" s="5">
        <v>19</v>
      </c>
      <c r="B20" s="6" t="s">
        <v>19</v>
      </c>
    </row>
    <row r="21" spans="1:2" x14ac:dyDescent="0.25">
      <c r="A21" s="5">
        <v>20</v>
      </c>
      <c r="B21" s="6" t="s">
        <v>20</v>
      </c>
    </row>
    <row r="22" spans="1:2" x14ac:dyDescent="0.25">
      <c r="A22" s="5">
        <v>21</v>
      </c>
      <c r="B22" s="6" t="s">
        <v>21</v>
      </c>
    </row>
    <row r="23" spans="1:2" x14ac:dyDescent="0.25">
      <c r="A23" s="5">
        <v>22</v>
      </c>
      <c r="B23" s="6" t="s">
        <v>18</v>
      </c>
    </row>
    <row r="24" spans="1:2" x14ac:dyDescent="0.25">
      <c r="A24" s="5">
        <v>23</v>
      </c>
      <c r="B24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Фомичёв Александр</cp:lastModifiedBy>
  <cp:lastPrinted>2025-11-13T09:01:51Z</cp:lastPrinted>
  <dcterms:created xsi:type="dcterms:W3CDTF">2025-11-13T08:41:05Z</dcterms:created>
  <dcterms:modified xsi:type="dcterms:W3CDTF">2026-01-26T10:53:09Z</dcterms:modified>
</cp:coreProperties>
</file>